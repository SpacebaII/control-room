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69646da20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 Register" sheetId="1" r:id="R371ff1b1a6d6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0231F"/>
      <x:name val="Aptos"/>
    </x:font>
    <x:font>
      <x:b/>
      <x:sz val="15"/>
      <x:color rgb="FFFFFFFF"/>
      <x:name val="Georgia"/>
    </x:font>
    <x:font>
      <x:i/>
      <x:sz val="10"/>
      <x:color rgb="FF5F625B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0231F"/>
      </x:patternFill>
    </x:fill>
    <x:fill>
      <x:patternFill patternType="solid">
        <x:fgColor rgb="FFF5F1E9"/>
      </x:patternFill>
    </x:fill>
    <x:fill>
      <x:patternFill patternType="solid">
        <x:fgColor rgb="FF2857A4"/>
      </x:patternFill>
    </x:fill>
  </x:fills>
  <x:borders count="4">
    <x:border/>
    <x:border>
      <x:bottom style="thin">
        <x:color rgb="FFC9C1B4"/>
      </x:bottom>
    </x:border>
    <x:border>
      <x:top style="thin">
        <x:color rgb="FFC9C1B4"/>
      </x:top>
      <x:bottom style="thin">
        <x:color rgb="FFC9C1B4"/>
      </x:bottom>
    </x:border>
    <x:border>
      <x:top style="thin">
        <x:color rgb="FFC9C1B4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34227"/>
      </x:font>
      <x:fill>
        <x:patternFill patternType="solid">
          <x:bgColor rgb="FFF0D1C8"/>
        </x:patternFill>
      </x:fill>
    </x:dxf>
    <x:dxf>
      <x:font>
        <x:b/>
        <x:color rgb="FF356746"/>
      </x:font>
      <x:fill>
        <x:patternFill patternType="solid">
          <x:bgColor rgb="FFDCE8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67d921cb248a0" /><Relationship Type="http://schemas.openxmlformats.org/officeDocument/2006/relationships/theme" Target="/xl/theme/theme1.xml" Id="Rf4a13af57b9942da" /><Relationship Type="http://schemas.openxmlformats.org/officeDocument/2006/relationships/sharedStrings" Target="/xl/sharedStrings.xml" Id="R41a50ca3020b460d" /><Relationship Type="http://schemas.openxmlformats.org/officeDocument/2006/relationships/worksheet" Target="/xl/worksheets/sheet1.xml" Id="R371ff1b1a6d6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32" hidden="0" customWidth="1"/>
    <x:col min="4" max="4" width="18" hidden="0" customWidth="1"/>
    <x:col min="5" max="5" width="12" hidden="0" customWidth="1"/>
    <x:col min="6" max="6" width="14" hidden="0" customWidth="1"/>
    <x:col min="7" max="7" width="24" hidden="0" customWidth="1"/>
    <x:col min="8" max="8" width="38" hidden="0" customWidth="1"/>
  </x:cols>
  <x:sheetData>
    <x:row r="1" ht="30" customHeight="1">
      <x:c r="A1" s="3" t="str">
        <x:v>HORIZON SERVICE GROUP / DENVER HUB READINESS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Synthetic operating record | v7 | 2026-08-25 | Owner: Marcus Bell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8" t="str">
        <x:v>Control ID</x:v>
      </x:c>
      <x:c r="B4" s="8" t="str">
        <x:v>Workstream</x:v>
      </x:c>
      <x:c r="C4" s="8" t="str">
        <x:v>Readiness control</x:v>
      </x:c>
      <x:c r="D4" s="8" t="str">
        <x:v>Owner</x:v>
      </x:c>
      <x:c r="E4" s="8" t="str">
        <x:v>Due</x:v>
      </x:c>
      <x:c r="F4" s="8" t="str">
        <x:v>Status</x:v>
      </x:c>
      <x:c r="G4" s="8" t="str">
        <x:v>Evidence</x:v>
      </x:c>
      <x:c r="H4" s="8" t="str">
        <x:v>Exception / next action</x:v>
      </x:c>
    </x:row>
    <x:row r="5">
      <x:c r="A5" s="15" t="str">
        <x:v>FAC-014</x:v>
      </x:c>
      <x:c r="B5" s="15" t="str">
        <x:v>Facility</x:v>
      </x:c>
      <x:c r="C5" s="15" t="str">
        <x:v>Fire marshal closeout letter</x:v>
      </x:c>
      <x:c r="D5" s="15" t="str">
        <x:v>Marcus Bell</x:v>
      </x:c>
      <x:c r="E5" s="18" t="n">
        <x:v>46261</x:v>
      </x:c>
      <x:c r="F5" s="15" t="str">
        <x:v>In progress</x:v>
      </x:c>
      <x:c r="G5" s="15" t="str">
        <x:v>Inspection 2026-08-24</x:v>
      </x:c>
      <x:c r="H5" s="15" t="str">
        <x:v>Two signage corrections due before reinspection</x:v>
      </x:c>
    </x:row>
    <x:row r="6">
      <x:c r="A6" s="16" t="str">
        <x:v>NET-009</x:v>
      </x:c>
      <x:c r="B6" s="16" t="str">
        <x:v>Technology</x:v>
      </x:c>
      <x:c r="C6" s="16" t="str">
        <x:v>Primary circuit acceptance</x:v>
      </x:c>
      <x:c r="D6" s="16" t="str">
        <x:v>Priya Shah</x:v>
      </x:c>
      <x:c r="E6" s="19" t="n">
        <x:v>46269</x:v>
      </x:c>
      <x:c r="F6" s="16" t="str">
        <x:v>Blocked</x:v>
      </x:c>
      <x:c r="G6" s="16" t="str">
        <x:v>Carrier ticket C-4418</x:v>
      </x:c>
      <x:c r="H6" s="16" t="str">
        <x:v>Use approved cellular failover for commissioning</x:v>
      </x:c>
    </x:row>
    <x:row r="7">
      <x:c r="A7" s="16" t="str">
        <x:v>OPS-021</x:v>
      </x:c>
      <x:c r="B7" s="16" t="str">
        <x:v>Operations</x:v>
      </x:c>
      <x:c r="C7" s="16" t="str">
        <x:v>Opening-week coverage roster</x:v>
      </x:c>
      <x:c r="D7" s="16" t="str">
        <x:v>Marcus Bell</x:v>
      </x:c>
      <x:c r="E7" s="19" t="n">
        <x:v>46263</x:v>
      </x:c>
      <x:c r="F7" s="16" t="str">
        <x:v>Ready</x:v>
      </x:c>
      <x:c r="G7" s="16" t="str">
        <x:v>Roster draft v3</x:v>
      </x:c>
      <x:c r="H7" s="16" t="str">
        <x:v>Confirm Saturday escalation coverage</x:v>
      </x:c>
    </x:row>
    <x:row r="8">
      <x:c r="A8" s="16" t="str">
        <x:v>VEN-006</x:v>
      </x:c>
      <x:c r="B8" s="16" t="str">
        <x:v>Vendor</x:v>
      </x:c>
      <x:c r="C8" s="16" t="str">
        <x:v>Security vendor access badges</x:v>
      </x:c>
      <x:c r="D8" s="16" t="str">
        <x:v>Jonah Price</x:v>
      </x:c>
      <x:c r="E8" s="19" t="n">
        <x:v>46262</x:v>
      </x:c>
      <x:c r="F8" s="16" t="str">
        <x:v>Ready</x:v>
      </x:c>
      <x:c r="G8" s="16" t="str">
        <x:v>Badge list 2026-08-23</x:v>
      </x:c>
      <x:c r="H8" s="16" t="str">
        <x:v>One subcontractor insurance record pending</x:v>
      </x:c>
    </x:row>
    <x:row r="9">
      <x:c r="A9" s="16" t="str">
        <x:v>TRN-011</x:v>
      </x:c>
      <x:c r="B9" s="16" t="str">
        <x:v>Training</x:v>
      </x:c>
      <x:c r="C9" s="16" t="str">
        <x:v>Supervisor readiness validation</x:v>
      </x:c>
      <x:c r="D9" s="16" t="str">
        <x:v>Simone Reed</x:v>
      </x:c>
      <x:c r="E9" s="19" t="n">
        <x:v>46267</x:v>
      </x:c>
      <x:c r="F9" s="16" t="str">
        <x:v>In progress</x:v>
      </x:c>
      <x:c r="G9" s="16" t="str">
        <x:v>Cohort schedule v2</x:v>
      </x:c>
      <x:c r="H9" s="16" t="str">
        <x:v>Second cohort approved for four supervisors</x:v>
      </x:c>
    </x:row>
    <x:row r="10">
      <x:c r="A10" s="16" t="str">
        <x:v>FIN-004</x:v>
      </x:c>
      <x:c r="B10" s="16" t="str">
        <x:v>Finance</x:v>
      </x:c>
      <x:c r="C10" s="16" t="str">
        <x:v>Opening purchase-order reconciliation</x:v>
      </x:c>
      <x:c r="D10" s="16" t="str">
        <x:v>Elena Ruiz</x:v>
      </x:c>
      <x:c r="E10" s="19" t="n">
        <x:v>46264</x:v>
      </x:c>
      <x:c r="F10" s="16" t="str">
        <x:v>In progress</x:v>
      </x:c>
      <x:c r="G10" s="16" t="str">
        <x:v>Commitment report 2026-08-25</x:v>
      </x:c>
      <x:c r="H10" s="16" t="str">
        <x:v>$17K forecast pressure requires contingency note</x:v>
      </x:c>
    </x:row>
    <x:row r="11">
      <x:c r="A11" s="16" t="str">
        <x:v>SAFE-003</x:v>
      </x:c>
      <x:c r="B11" s="16" t="str">
        <x:v>Facility</x:v>
      </x:c>
      <x:c r="C11" s="16" t="str">
        <x:v>Emergency response walkthrough</x:v>
      </x:c>
      <x:c r="D11" s="16" t="str">
        <x:v>Marcus Bell</x:v>
      </x:c>
      <x:c r="E11" s="19" t="n">
        <x:v>46268</x:v>
      </x:c>
      <x:c r="F11" s="16" t="str">
        <x:v>Not started</x:v>
      </x:c>
      <x:c r="G11" s="16" t="str">
        <x:v>Runbook section 8</x:v>
      </x:c>
      <x:c r="H11" s="16" t="str">
        <x:v>Schedule after fire marshal closeout</x:v>
      </x:c>
    </x:row>
    <x:row r="12">
      <x:c r="A12" s="17" t="str">
        <x:v>COM-008</x:v>
      </x:c>
      <x:c r="B12" s="17" t="str">
        <x:v>Program</x:v>
      </x:c>
      <x:c r="C12" s="17" t="str">
        <x:v>Launch-day communication tree</x:v>
      </x:c>
      <x:c r="D12" s="17" t="str">
        <x:v>Alex Morgan</x:v>
      </x:c>
      <x:c r="E12" s="20" t="n">
        <x:v>46270</x:v>
      </x:c>
      <x:c r="F12" s="17" t="str">
        <x:v>Ready</x:v>
      </x:c>
      <x:c r="G12" s="17" t="str">
        <x:v>Channel matrix v4</x:v>
      </x:c>
      <x:c r="H12" s="17" t="str">
        <x:v>Validate after-hours contact numbers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21" t="str">
        <x:v>CONTROL SUMMARY</x:v>
      </x:c>
      <x:c r="B14" s="21" t="str">
        <x:v>Count</x:v>
      </x:c>
      <x:c r="C14" s="21" t="str">
        <x:v>Definition</x:v>
      </x:c>
      <x:c r="D14" s="21" t="str">
        <x:v>Owner action</x:v>
      </x:c>
      <x:c r="E14" s="1"/>
      <x:c r="F14" s="1"/>
      <x:c r="G14" s="1"/>
      <x:c r="H14" s="1"/>
    </x:row>
    <x:row r="15">
      <x:c r="A15" s="9" t="str">
        <x:v>Blocked</x:v>
      </x:c>
      <x:c r="B15" s="9" t="n">
        <x:f>COUNTIF(F5:F12,A15)</x:f>
        <x:v>1</x:v>
      </x:c>
      <x:c r="C15" s="9" t="str">
        <x:v>External dependency prevents completion</x:v>
      </x:c>
      <x:c r="D15" s="9" t="str">
        <x:v>Escalate with recovery evidence</x:v>
      </x:c>
      <x:c r="E15" s="1"/>
      <x:c r="F15" s="1"/>
      <x:c r="G15" s="1"/>
      <x:c r="H15" s="1"/>
    </x:row>
    <x:row r="16">
      <x:c r="A16" s="10" t="str">
        <x:v>In progress</x:v>
      </x:c>
      <x:c r="B16" s="10" t="n">
        <x:f>COUNTIF(F6:F13,A16)</x:f>
        <x:v>2</x:v>
      </x:c>
      <x:c r="C16" s="10" t="str">
        <x:v>Active work with a named next action</x:v>
      </x:c>
      <x:c r="D16" s="10" t="str">
        <x:v>Update evidence before due date</x:v>
      </x:c>
      <x:c r="E16" s="1"/>
      <x:c r="F16" s="1"/>
      <x:c r="G16" s="1"/>
      <x:c r="H16" s="1"/>
    </x:row>
    <x:row r="17">
      <x:c r="A17" s="10" t="str">
        <x:v>Ready</x:v>
      </x:c>
      <x:c r="B17" s="10" t="n">
        <x:f>COUNTIF(F7:F14,A17)</x:f>
        <x:v>3</x:v>
      </x:c>
      <x:c r="C17" s="10" t="str">
        <x:v>Control can close when due</x:v>
      </x:c>
      <x:c r="D17" s="10" t="str">
        <x:v>Confirm closure evidence</x:v>
      </x:c>
      <x:c r="E17" s="1"/>
      <x:c r="F17" s="1"/>
      <x:c r="G17" s="1"/>
      <x:c r="H17" s="1"/>
    </x:row>
    <x:row r="18">
      <x:c r="A18" s="11" t="str">
        <x:v>Not started</x:v>
      </x:c>
      <x:c r="B18" s="11" t="n">
        <x:f>COUNTIF(F8:F15,A18)</x:f>
        <x:v>1</x:v>
      </x:c>
      <x:c r="C18" s="11" t="str">
        <x:v>Work has not begun</x:v>
      </x:c>
      <x:c r="D18" s="11" t="str">
        <x:v>Confirm start date and owner</x:v>
      </x:c>
      <x:c r="E18" s="1"/>
      <x:c r="F18" s="1"/>
      <x:c r="G18" s="1"/>
      <x:c r="H18" s="1"/>
    </x:row>
  </x:sheetData>
  <x:mergeCells>
    <x:mergeCell ref="A1:H1"/>
    <x:mergeCell ref="A2:H2"/>
  </x:mergeCells>
  <x:conditionalFormatting sqref="F5:F12">
    <x:cfRule type="containsText" dxfId="0" priority="1" operator="containsText" text="Blocked"/>
    <x:cfRule type="containsText" dxfId="1" priority="2" operator="containsText" text="Ready"/>
  </x:conditionalFormatting>
  <x:pageMargins left="0.7" right="0.7" top="0.75" bottom="0.75" header="0.3" footer="0.3"/>
</x:worksheet>
</file>