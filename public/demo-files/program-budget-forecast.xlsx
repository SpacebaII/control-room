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eec0aff00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db778a0fa245b5"/>
    <x:sheet xmlns:r="http://schemas.openxmlformats.org/officeDocument/2006/relationships" name="Forecast Detail" sheetId="2" r:id="Re9efd861bc974c24"/>
    <x:sheet xmlns:r="http://schemas.openxmlformats.org/officeDocument/2006/relationships" name="Checks" sheetId="3" r:id="R55291bd415cd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;-"/>
    <x:numFmt numFmtId="201" formatCode="yyyy-mm-dd"/>
  </x:numFmts>
  <x:fonts count="8">
    <x:font>
      <x:sz val="11"/>
      <x:name val="Carlito"/>
    </x:font>
    <x:font>
      <x:sz val="10"/>
      <x:color rgb="FF20231F"/>
      <x:name val="Aptos"/>
    </x:font>
    <x:font>
      <x:b/>
      <x:sz val="15"/>
      <x:color rgb="FFFFFFFF"/>
      <x:name val="Georgia"/>
    </x:font>
    <x:font>
      <x:i/>
      <x:sz val="10"/>
      <x:color rgb="FF5F625B"/>
      <x:name val="Aptos"/>
    </x:font>
    <x:font>
      <x:i/>
      <x:sz val="11"/>
      <x:color rgb="FF5F625B"/>
      <x:name val="Carlito"/>
    </x:font>
    <x:font>
      <x:b/>
      <x:sz val="10"/>
      <x:color rgb="FFFFFFFF"/>
      <x:name val="Aptos"/>
    </x:font>
    <x:font>
      <x:b/>
      <x:sz val="14"/>
      <x:color rgb="FF20231F"/>
      <x:name val="Georgia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231F"/>
      </x:patternFill>
    </x:fill>
    <x:fill>
      <x:patternFill patternType="solid">
        <x:fgColor rgb="FFF5F1E9"/>
      </x:patternFill>
    </x:fill>
    <x:fill>
      <x:patternFill patternType="solid">
        <x:fgColor rgb="FF2857A4"/>
      </x:patternFill>
    </x:fill>
    <x:fill>
      <x:patternFill patternType="solid">
        <x:fgColor rgb="FFFFFFFF"/>
      </x:patternFill>
    </x:fill>
  </x:fills>
  <x:borders count="5">
    <x:border/>
    <x:border>
      <x:bottom style="medium">
        <x:color rgb="FF2857A4"/>
      </x:bottom>
    </x:border>
    <x:border>
      <x:bottom style="thin">
        <x:color rgb="FFC9C1B4"/>
      </x:bottom>
    </x:border>
    <x:border>
      <x:top style="thin">
        <x:color rgb="FFC9C1B4"/>
      </x:top>
      <x:bottom style="thin">
        <x:color rgb="FFC9C1B4"/>
      </x:bottom>
    </x:border>
    <x:border>
      <x:top style="thin">
        <x:color rgb="FFC9C1B4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1" xfId="0" applyNumberFormat="1" applyFont="1" applyFill="1" applyBorder="1"/>
    <x:xf numFmtId="0" fontId="5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7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34227"/>
      </x:font>
      <x:fill>
        <x:patternFill patternType="solid">
          <x:bgColor rgb="FFF0D1C8"/>
        </x:patternFill>
      </x:fill>
    </x:dxf>
    <x:dxf>
      <x:font>
        <x:b/>
        <x:color rgb="FFA34227"/>
      </x:font>
    </x:dxf>
    <x:dxf>
      <x:font>
        <x:b/>
        <x:color rgb="FF356746"/>
      </x:font>
      <x:fill>
        <x:patternFill patternType="solid">
          <x:bgColor rgb="FFDCE8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28207aeac4f9a" /><Relationship Type="http://schemas.openxmlformats.org/officeDocument/2006/relationships/theme" Target="/xl/theme/theme1.xml" Id="Rf312e6af0b6348ea" /><Relationship Type="http://schemas.openxmlformats.org/officeDocument/2006/relationships/sharedStrings" Target="/xl/sharedStrings.xml" Id="Rc090ac620b9d4685" /><Relationship Type="http://schemas.openxmlformats.org/officeDocument/2006/relationships/worksheet" Target="/xl/worksheets/sheet1.xml" Id="R7cdb778a0fa245b5" /><Relationship Type="http://schemas.openxmlformats.org/officeDocument/2006/relationships/worksheet" Target="/xl/worksheets/sheet2.xml" Id="Re9efd861bc974c24" /><Relationship Type="http://schemas.openxmlformats.org/officeDocument/2006/relationships/worksheet" Target="/xl/worksheets/sheet3.xml" Id="R55291bd415cd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7" hidden="0" customWidth="1"/>
    <x:col min="3" max="3" width="18" hidden="0" customWidth="1"/>
    <x:col min="4" max="4" width="24" hidden="0" customWidth="1"/>
    <x:col min="5" max="5" width="22" hidden="0" customWidth="1"/>
    <x:col min="6" max="6" width="14" hidden="0" customWidth="1"/>
  </x:cols>
  <x:sheetData>
    <x:row r="1" ht="30" customHeight="1">
      <x:c r="A1" s="4" t="str">
        <x:v>MOUNTAIN WEST REGIONAL LAUNCH / PROGRAM FORECAST</x:v>
      </x:c>
      <x:c r="B1" s="4"/>
      <x:c r="C1" s="4"/>
      <x:c r="D1" s="4"/>
      <x:c r="E1" s="4"/>
      <x:c r="F1" s="4"/>
      <x:c r="G1" s="4"/>
      <x:c r="H1" s="4"/>
    </x:row>
    <x:row r="2">
      <x:c r="A2" s="7" t="str">
        <x:v>Synthetic FP&amp;A control | Forecast v5 | 2026-08-25 | Owner: Elena Ruiz</x:v>
      </x:c>
      <x:c r="B2" s="7"/>
      <x:c r="C2" s="7"/>
      <x:c r="D2" s="7"/>
      <x:c r="E2" s="7"/>
      <x:c r="F2" s="7"/>
      <x:c r="G2" s="8"/>
      <x:c r="H2" s="8"/>
    </x:row>
    <x:row r="3">
      <x:c r="A3" s="1"/>
      <x:c r="B3" s="1"/>
      <x:c r="C3" s="1"/>
      <x:c r="D3" s="1"/>
      <x:c r="E3" s="1"/>
      <x:c r="F3" s="1"/>
    </x:row>
    <x:row r="4">
      <x:c r="A4" s="10" t="str">
        <x:v>Program baseline</x:v>
      </x:c>
      <x:c r="B4" s="10" t="str">
        <x:v>Actuals</x:v>
      </x:c>
      <x:c r="C4" s="10" t="str">
        <x:v>Commitments</x:v>
      </x:c>
      <x:c r="D4" s="10" t="str">
        <x:v>Forecast at completion</x:v>
      </x:c>
      <x:c r="E4" s="1"/>
      <x:c r="F4" s="1"/>
    </x:row>
    <x:row r="5">
      <x:c r="A5" s="14" t="n">
        <x:f>SUM('Forecast Detail'!D5:D17)</x:f>
        <x:v>2194000</x:v>
      </x:c>
      <x:c r="B5" s="14" t="n">
        <x:f>SUM('Forecast Detail'!E5:E17)</x:f>
        <x:v>1312000</x:v>
      </x:c>
      <x:c r="C5" s="14" t="n">
        <x:f>SUM('Forecast Detail'!F5:F17)</x:f>
        <x:v>682000</x:v>
      </x:c>
      <x:c r="D5" s="14" t="n">
        <x:f>SUM('Forecast Detail'!G5:G17)</x:f>
        <x:v>2352500</x:v>
      </x:c>
      <x:c r="E5" s="1"/>
      <x:c r="F5" s="1"/>
    </x:row>
    <x:row r="6">
      <x:c r="A6" s="1"/>
      <x:c r="B6" s="1"/>
      <x:c r="C6" s="1"/>
      <x:c r="D6" s="1"/>
      <x:c r="E6" s="1"/>
      <x:c r="F6" s="1"/>
    </x:row>
    <x:row r="7">
      <x:c r="A7" s="15" t="str">
        <x:v>Project</x:v>
      </x:c>
      <x:c r="B7" s="15" t="str">
        <x:v>Baseline</x:v>
      </x:c>
      <x:c r="C7" s="15" t="str">
        <x:v>Actual</x:v>
      </x:c>
      <x:c r="D7" s="15" t="str">
        <x:v>Committed</x:v>
      </x:c>
      <x:c r="E7" s="15" t="str">
        <x:v>Forecast</x:v>
      </x:c>
      <x:c r="F7" s="15" t="str">
        <x:v>Variance</x:v>
      </x:c>
    </x:row>
    <x:row r="8">
      <x:c r="A8" s="1" t="str">
        <x:v>MW-01</x:v>
      </x:c>
      <x:c r="B8" s="16" t="n">
        <x:f>SUMIF('Forecast Detail'!$A$5:$A$17,$A8,'Forecast Detail'!$D$5:$D$17)</x:f>
        <x:v>950000</x:v>
      </x:c>
      <x:c r="C8" s="16" t="n">
        <x:f>SUMIF('Forecast Detail'!$A$5:$A$17,$A8,'Forecast Detail'!$E$5:$E$17)</x:f>
        <x:v>573000</x:v>
      </x:c>
      <x:c r="D8" s="16" t="n">
        <x:f>SUMIF('Forecast Detail'!$A$5:$A$17,$A8,'Forecast Detail'!$F$5:$F$17)</x:f>
        <x:v>321000</x:v>
      </x:c>
      <x:c r="E8" s="16" t="n">
        <x:f>SUMIF('Forecast Detail'!$A$5:$A$17,$A8,'Forecast Detail'!$G$5:$G$17)</x:f>
        <x:v>967000</x:v>
      </x:c>
      <x:c r="F8" s="16" t="n">
        <x:f>E8-B8</x:f>
        <x:v>17000</x:v>
      </x:c>
    </x:row>
    <x:row r="9">
      <x:c r="A9" s="1" t="str">
        <x:v>MW-02</x:v>
      </x:c>
      <x:c r="B9" s="16" t="n">
        <x:f>SUMIF('Forecast Detail'!$A$5:$A$17,$A9,'Forecast Detail'!$D$5:$D$17)</x:f>
        <x:v>740000</x:v>
      </x:c>
      <x:c r="C9" s="16" t="n">
        <x:f>SUMIF('Forecast Detail'!$A$5:$A$17,$A9,'Forecast Detail'!$E$5:$E$17)</x:f>
        <x:v>526000</x:v>
      </x:c>
      <x:c r="D9" s="16" t="n">
        <x:f>SUMIF('Forecast Detail'!$A$5:$A$17,$A9,'Forecast Detail'!$F$5:$F$17)</x:f>
        <x:v>169000</x:v>
      </x:c>
      <x:c r="E9" s="16" t="n">
        <x:f>SUMIF('Forecast Detail'!$A$5:$A$17,$A9,'Forecast Detail'!$G$5:$G$17)</x:f>
        <x:v>873000</x:v>
      </x:c>
      <x:c r="F9" s="16" t="n">
        <x:f>E9-B9</x:f>
        <x:v>133000</x:v>
      </x:c>
    </x:row>
    <x:row r="10">
      <x:c r="A10" s="1" t="str">
        <x:v>MW-03</x:v>
      </x:c>
      <x:c r="B10" s="16" t="n">
        <x:f>SUMIF('Forecast Detail'!$A$5:$A$17,$A10,'Forecast Detail'!$D$5:$D$17)</x:f>
        <x:v>308000</x:v>
      </x:c>
      <x:c r="C10" s="16" t="n">
        <x:f>SUMIF('Forecast Detail'!$A$5:$A$17,$A10,'Forecast Detail'!$E$5:$E$17)</x:f>
        <x:v>156000</x:v>
      </x:c>
      <x:c r="D10" s="16" t="n">
        <x:f>SUMIF('Forecast Detail'!$A$5:$A$17,$A10,'Forecast Detail'!$F$5:$F$17)</x:f>
        <x:v>128000</x:v>
      </x:c>
      <x:c r="E10" s="16" t="n">
        <x:f>SUMIF('Forecast Detail'!$A$5:$A$17,$A10,'Forecast Detail'!$G$5:$G$17)</x:f>
        <x:v>308000</x:v>
      </x:c>
      <x:c r="F10" s="16" t="n">
        <x:f>E10-B10</x:f>
        <x:v>0</x:v>
      </x:c>
    </x:row>
    <x:row r="11">
      <x:c r="A11" s="1" t="str">
        <x:v>MW-04</x:v>
      </x:c>
      <x:c r="B11" s="16" t="n">
        <x:f>SUMIF('Forecast Detail'!$A$5:$A$17,$A11,'Forecast Detail'!$D$5:$D$17)</x:f>
        <x:v>146000</x:v>
      </x:c>
      <x:c r="C11" s="16" t="n">
        <x:f>SUMIF('Forecast Detail'!$A$5:$A$17,$A11,'Forecast Detail'!$E$5:$E$17)</x:f>
        <x:v>57000</x:v>
      </x:c>
      <x:c r="D11" s="16" t="n">
        <x:f>SUMIF('Forecast Detail'!$A$5:$A$17,$A11,'Forecast Detail'!$F$5:$F$17)</x:f>
        <x:v>64000</x:v>
      </x:c>
      <x:c r="E11" s="16" t="n">
        <x:f>SUMIF('Forecast Detail'!$A$5:$A$17,$A11,'Forecast Detail'!$G$5:$G$17)</x:f>
        <x:v>154500</x:v>
      </x:c>
      <x:c r="F11" s="16" t="n">
        <x:f>E11-B11</x:f>
        <x:v>8500</x:v>
      </x:c>
    </x:row>
    <x:row r="12">
      <x:c r="A12" s="1"/>
      <x:c r="B12" s="1"/>
      <x:c r="C12" s="1"/>
      <x:c r="D12" s="1"/>
      <x:c r="E12" s="1"/>
      <x:c r="F12" s="1"/>
    </x:row>
    <x:row r="13">
      <x:c r="A13" s="15" t="str">
        <x:v>Management note</x:v>
      </x:c>
      <x:c r="B13" s="15" t="str">
        <x:v>Owner</x:v>
      </x:c>
      <x:c r="C13" s="15" t="str">
        <x:v>Due</x:v>
      </x:c>
      <x:c r="D13" s="15" t="str">
        <x:v>Decision</x:v>
      </x:c>
      <x:c r="E13" s="15" t="str">
        <x:v>Exposure</x:v>
      </x:c>
      <x:c r="F13" s="15" t="str">
        <x:v>Status</x:v>
      </x:c>
    </x:row>
    <x:row r="14">
      <x:c r="A14" s="1" t="str">
        <x:v>Dispatcher pilot extension requires sponsor decision</x:v>
      </x:c>
      <x:c r="B14" s="1" t="str">
        <x:v>Alex Morgan</x:v>
      </x:c>
      <x:c r="C14" s="17" t="n">
        <x:v>46260</x:v>
      </x:c>
      <x:c r="D14" s="1" t="str">
        <x:v>$64K / 18 days</x:v>
      </x:c>
      <x:c r="E14" s="1" t="str">
        <x:v>Schedule and adoption</x:v>
      </x:c>
      <x:c r="F14" s="1" t="str">
        <x:v>Open</x:v>
      </x:c>
    </x:row>
    <x:row r="15">
      <x:c r="A15" s="1" t="str">
        <x:v>Denver circuit failover approved from contingency</x:v>
      </x:c>
      <x:c r="B15" s="1" t="str">
        <x:v>Elena Ruiz</x:v>
      </x:c>
      <x:c r="C15" s="17" t="n">
        <x:v>46263</x:v>
      </x:c>
      <x:c r="D15" s="1" t="str">
        <x:v>$18K</x:v>
      </x:c>
      <x:c r="E15" s="1" t="str">
        <x:v>Continuity</x:v>
      </x:c>
      <x:c r="F15" s="1" t="str">
        <x:v>Monitoring</x:v>
      </x:c>
    </x:row>
    <x:row r="16">
      <x:c r="A16" s="1" t="str">
        <x:v>Vendor closeout remains within package controls</x:v>
      </x:c>
      <x:c r="B16" s="1" t="str">
        <x:v>Jonah Price</x:v>
      </x:c>
      <x:c r="C16" s="17" t="n">
        <x:v>46264</x:v>
      </x:c>
      <x:c r="D16" s="1" t="str">
        <x:v>$0</x:v>
      </x:c>
      <x:c r="E16" s="1" t="str">
        <x:v>Evidence completeness</x:v>
      </x:c>
      <x:c r="F16" s="1" t="str">
        <x:v>On plan</x:v>
      </x:c>
    </x:row>
  </x:sheetData>
  <x:mergeCells>
    <x:mergeCell ref="A1:H1"/>
    <x:mergeCell ref="A2:H2"/>
  </x:mergeCells>
  <x:conditionalFormatting sqref="F8:F11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3.630001068115234" hidden="0" customWidth="1"/>
    <x:col min="2" max="2" width="24" hidden="0" customWidth="1"/>
    <x:col min="3" max="3" width="24" hidden="0" customWidth="1"/>
    <x:col min="4" max="4" width="7.5" hidden="0" customWidth="1"/>
    <x:col min="5" max="5" width="7.5" hidden="0" customWidth="1"/>
    <x:col min="6" max="6" width="9" hidden="0" customWidth="1"/>
    <x:col min="7" max="7" width="7.5" hidden="0" customWidth="1"/>
    <x:col min="8" max="8" width="7.130000114440918" hidden="0" customWidth="1"/>
  </x:cols>
  <x:sheetData>
    <x:row r="1">
      <x:c r="A1" s="4" t="str">
        <x:v>FORECAST DETAIL / SOURCE OF TRUTH</x:v>
      </x:c>
      <x:c r="B1" s="4"/>
      <x:c r="C1" s="4"/>
      <x:c r="D1" s="4"/>
      <x:c r="E1" s="4"/>
      <x:c r="F1" s="4"/>
      <x:c r="G1" s="4"/>
      <x:c r="H1" s="4"/>
    </x:row>
    <x:row r="2">
      <x:c r="A2" t="str">
        <x:v>Inputs are synthetic. Forecast and variance columns are formula-driven where noted.</x:v>
      </x:c>
    </x:row>
    <x:row r="4">
      <x:c r="A4" s="19" t="str">
        <x:v>Project</x:v>
      </x:c>
      <x:c r="B4" s="19" t="str">
        <x:v>Category</x:v>
      </x:c>
      <x:c r="C4" s="19" t="str">
        <x:v>Vendor</x:v>
      </x:c>
      <x:c r="D4" s="19" t="str">
        <x:v>Baseline</x:v>
      </x:c>
      <x:c r="E4" s="19" t="str">
        <x:v>Actual</x:v>
      </x:c>
      <x:c r="F4" s="19" t="str">
        <x:v>Committed</x:v>
      </x:c>
      <x:c r="G4" s="19" t="str">
        <x:v>Forecast</x:v>
      </x:c>
      <x:c r="H4" s="19" t="str">
        <x:v>Variance</x:v>
      </x:c>
    </x:row>
    <x:row r="5">
      <x:c r="A5" s="20" t="str">
        <x:v>MW-01</x:v>
      </x:c>
      <x:c r="B5" s="20" t="str">
        <x:v>Facility buildout</x:v>
      </x:c>
      <x:c r="C5" s="20" t="str">
        <x:v>Summit Build Co.</x:v>
      </x:c>
      <x:c r="D5" s="23" t="n">
        <x:v>510000</x:v>
      </x:c>
      <x:c r="E5" s="23" t="n">
        <x:v>328000</x:v>
      </x:c>
      <x:c r="F5" s="23" t="n">
        <x:v>126000</x:v>
      </x:c>
      <x:c r="G5" s="23" t="n">
        <x:v>523000</x:v>
      </x:c>
      <x:c r="H5" s="23" t="n">
        <x:f>G5-D5</x:f>
        <x:v>13000</x:v>
      </x:c>
    </x:row>
    <x:row r="6">
      <x:c r="A6" s="21" t="str">
        <x:v>MW-01</x:v>
      </x:c>
      <x:c r="B6" s="21" t="str">
        <x:v>Network and devices</x:v>
      </x:c>
      <x:c r="C6" s="21" t="str">
        <x:v>FrontRange Telecom</x:v>
      </x:c>
      <x:c r="D6" s="24" t="n">
        <x:v>214000</x:v>
      </x:c>
      <x:c r="E6" s="24" t="n">
        <x:v>86000</x:v>
      </x:c>
      <x:c r="F6" s="24" t="n">
        <x:v>145000</x:v>
      </x:c>
      <x:c r="G6" s="24" t="n">
        <x:v>225000</x:v>
      </x:c>
      <x:c r="H6" s="24" t="n">
        <x:f>G6-D6</x:f>
        <x:v>11000</x:v>
      </x:c>
    </x:row>
    <x:row r="7">
      <x:c r="A7" s="21" t="str">
        <x:v>MW-01</x:v>
      </x:c>
      <x:c r="B7" s="21" t="str">
        <x:v>Opening operations</x:v>
      </x:c>
      <x:c r="C7" s="21" t="str">
        <x:v>Internal</x:v>
      </x:c>
      <x:c r="D7" s="24" t="n">
        <x:v>226000</x:v>
      </x:c>
      <x:c r="E7" s="24" t="n">
        <x:v>159000</x:v>
      </x:c>
      <x:c r="F7" s="24" t="n">
        <x:v>50000</x:v>
      </x:c>
      <x:c r="G7" s="24" t="n">
        <x:v>219000</x:v>
      </x:c>
      <x:c r="H7" s="24" t="n">
        <x:f>G7-D7</x:f>
        <x:v>-7000</x:v>
      </x:c>
    </x:row>
    <x:row r="8">
      <x:c r="A8" s="21" t="str">
        <x:v>MW-02</x:v>
      </x:c>
      <x:c r="B8" s="21" t="str">
        <x:v>Platform services</x:v>
      </x:c>
      <x:c r="C8" s="21" t="str">
        <x:v>Northstar Systems</x:v>
      </x:c>
      <x:c r="D8" s="24" t="n">
        <x:v>410000</x:v>
      </x:c>
      <x:c r="E8" s="24" t="n">
        <x:v>296000</x:v>
      </x:c>
      <x:c r="F8" s="24" t="n">
        <x:v>71000</x:v>
      </x:c>
      <x:c r="G8" s="24" t="n">
        <x:v>489000</x:v>
      </x:c>
      <x:c r="H8" s="24" t="n">
        <x:f>G8-D8</x:f>
        <x:v>79000</x:v>
      </x:c>
    </x:row>
    <x:row r="9">
      <x:c r="A9" s="21" t="str">
        <x:v>MW-02</x:v>
      </x:c>
      <x:c r="B9" s="21" t="str">
        <x:v>Devices</x:v>
      </x:c>
      <x:c r="C9" s="21" t="str">
        <x:v>FrontRange Telecom</x:v>
      </x:c>
      <x:c r="D9" s="24" t="n">
        <x:v>170000</x:v>
      </x:c>
      <x:c r="E9" s="24" t="n">
        <x:v>118000</x:v>
      </x:c>
      <x:c r="F9" s="24" t="n">
        <x:v>38000</x:v>
      </x:c>
      <x:c r="G9" s="24" t="n">
        <x:v>182000</x:v>
      </x:c>
      <x:c r="H9" s="24" t="n">
        <x:f>G9-D9</x:f>
        <x:v>12000</x:v>
      </x:c>
    </x:row>
    <x:row r="10">
      <x:c r="A10" s="21" t="str">
        <x:v>MW-02</x:v>
      </x:c>
      <x:c r="B10" s="21" t="str">
        <x:v>Implementation labor</x:v>
      </x:c>
      <x:c r="C10" s="21" t="str">
        <x:v>Internal</x:v>
      </x:c>
      <x:c r="D10" s="24" t="n">
        <x:v>160000</x:v>
      </x:c>
      <x:c r="E10" s="24" t="n">
        <x:v>112000</x:v>
      </x:c>
      <x:c r="F10" s="24" t="n">
        <x:v>60000</x:v>
      </x:c>
      <x:c r="G10" s="24" t="n">
        <x:v>202000</x:v>
      </x:c>
      <x:c r="H10" s="24" t="n">
        <x:f>G10-D10</x:f>
        <x:v>42000</x:v>
      </x:c>
    </x:row>
    <x:row r="11">
      <x:c r="A11" s="21" t="str">
        <x:v>MW-03</x:v>
      </x:c>
      <x:c r="B11" s="21" t="str">
        <x:v>Security services</x:v>
      </x:c>
      <x:c r="C11" s="21" t="str">
        <x:v>High Mesa Security</x:v>
      </x:c>
      <x:c r="D11" s="24" t="n">
        <x:v>144000</x:v>
      </x:c>
      <x:c r="E11" s="24" t="n">
        <x:v>68000</x:v>
      </x:c>
      <x:c r="F11" s="24" t="n">
        <x:v>69000</x:v>
      </x:c>
      <x:c r="G11" s="24" t="n">
        <x:v>141000</x:v>
      </x:c>
      <x:c r="H11" s="24" t="n">
        <x:f>G11-D11</x:f>
        <x:v>-3000</x:v>
      </x:c>
    </x:row>
    <x:row r="12">
      <x:c r="A12" s="21" t="str">
        <x:v>MW-03</x:v>
      </x:c>
      <x:c r="B12" s="21" t="str">
        <x:v>Fleet readiness</x:v>
      </x:c>
      <x:c r="C12" s="21" t="str">
        <x:v>Alpine Fleet Care</x:v>
      </x:c>
      <x:c r="D12" s="24" t="n">
        <x:v>98000</x:v>
      </x:c>
      <x:c r="E12" s="24" t="n">
        <x:v>51000</x:v>
      </x:c>
      <x:c r="F12" s="24" t="n">
        <x:v>38000</x:v>
      </x:c>
      <x:c r="G12" s="24" t="n">
        <x:v>96000</x:v>
      </x:c>
      <x:c r="H12" s="24" t="n">
        <x:f>G12-D12</x:f>
        <x:v>-2000</x:v>
      </x:c>
    </x:row>
    <x:row r="13">
      <x:c r="A13" s="21" t="str">
        <x:v>MW-03</x:v>
      </x:c>
      <x:c r="B13" s="21" t="str">
        <x:v>Supplies</x:v>
      </x:c>
      <x:c r="C13" s="21" t="str">
        <x:v>Various</x:v>
      </x:c>
      <x:c r="D13" s="24" t="n">
        <x:v>66000</x:v>
      </x:c>
      <x:c r="E13" s="24" t="n">
        <x:v>37000</x:v>
      </x:c>
      <x:c r="F13" s="24" t="n">
        <x:v>21000</x:v>
      </x:c>
      <x:c r="G13" s="24" t="n">
        <x:v>71000</x:v>
      </x:c>
      <x:c r="H13" s="24" t="n">
        <x:f>G13-D13</x:f>
        <x:v>5000</x:v>
      </x:c>
    </x:row>
    <x:row r="14">
      <x:c r="A14" s="21" t="str">
        <x:v>MW-04</x:v>
      </x:c>
      <x:c r="B14" s="21" t="str">
        <x:v>Training design</x:v>
      </x:c>
      <x:c r="C14" s="21" t="str">
        <x:v>Internal</x:v>
      </x:c>
      <x:c r="D14" s="24" t="n">
        <x:v>62000</x:v>
      </x:c>
      <x:c r="E14" s="24" t="n">
        <x:v>31000</x:v>
      </x:c>
      <x:c r="F14" s="24" t="n">
        <x:v>17000</x:v>
      </x:c>
      <x:c r="G14" s="24" t="n">
        <x:v>64000</x:v>
      </x:c>
      <x:c r="H14" s="24" t="n">
        <x:f>G14-D14</x:f>
        <x:v>2000</x:v>
      </x:c>
    </x:row>
    <x:row r="15">
      <x:c r="A15" s="21" t="str">
        <x:v>MW-04</x:v>
      </x:c>
      <x:c r="B15" s="21" t="str">
        <x:v>Facilitation</x:v>
      </x:c>
      <x:c r="C15" s="21" t="str">
        <x:v>Peak Learning</x:v>
      </x:c>
      <x:c r="D15" s="24" t="n">
        <x:v>48000</x:v>
      </x:c>
      <x:c r="E15" s="24" t="n">
        <x:v>14000</x:v>
      </x:c>
      <x:c r="F15" s="24" t="n">
        <x:v>22000</x:v>
      </x:c>
      <x:c r="G15" s="24" t="n">
        <x:v>51500</x:v>
      </x:c>
      <x:c r="H15" s="24" t="n">
        <x:f>G15-D15</x:f>
        <x:v>3500</x:v>
      </x:c>
    </x:row>
    <x:row r="16">
      <x:c r="A16" s="21" t="str">
        <x:v>MW-04</x:v>
      </x:c>
      <x:c r="B16" s="21" t="str">
        <x:v>Backfill</x:v>
      </x:c>
      <x:c r="C16" s="21" t="str">
        <x:v>Internal</x:v>
      </x:c>
      <x:c r="D16" s="24" t="n">
        <x:v>36000</x:v>
      </x:c>
      <x:c r="E16" s="24" t="n">
        <x:v>12000</x:v>
      </x:c>
      <x:c r="F16" s="24" t="n">
        <x:v>25000</x:v>
      </x:c>
      <x:c r="G16" s="24" t="n">
        <x:v>39000</x:v>
      </x:c>
      <x:c r="H16" s="24" t="n">
        <x:f>G16-D16</x:f>
        <x:v>3000</x:v>
      </x:c>
    </x:row>
    <x:row r="17">
      <x:c r="A17" s="22" t="str">
        <x:v>PROGRAM</x:v>
      </x:c>
      <x:c r="B17" s="22" t="str">
        <x:v>Contingency</x:v>
      </x:c>
      <x:c r="C17" s="22" t="str">
        <x:v>Program reserve</x:v>
      </x:c>
      <x:c r="D17" s="25" t="n">
        <x:v>50000</x:v>
      </x:c>
      <x:c r="E17" s="25" t="n">
        <x:v>0</x:v>
      </x:c>
      <x:c r="F17" s="25" t="n">
        <x:v>0</x:v>
      </x:c>
      <x:c r="G17" s="25" t="n">
        <x:v>50000</x:v>
      </x:c>
      <x:c r="H17" s="25" t="n">
        <x:f>G17-D17</x:f>
        <x:v>0</x:v>
      </x:c>
    </x:row>
  </x:sheetData>
  <x:mergeCells>
    <x:mergeCell ref="A1:H1"/>
    <x:mergeCell ref="A2:H2"/>
  </x:mergeCells>
  <x:conditionalFormatting sqref="H5:H17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799991607666" hidden="0" customWidth="1"/>
    <x:col min="2" max="2" width="5.25" hidden="0" customWidth="1"/>
    <x:col min="3" max="3" width="5.25" hidden="0" customWidth="1"/>
    <x:col min="4" max="4" width="29" hidden="0" customWidth="1"/>
  </x:cols>
  <x:sheetData>
    <x:row r="1">
      <x:c r="A1" s="26" t="str">
        <x:v>MODEL STATUS</x:v>
      </x:c>
      <x:c r="B1" s="26" t="str">
        <x:v>Result</x:v>
      </x:c>
      <x:c r="C1" s="26" t="str">
        <x:v>Delta</x:v>
      </x:c>
      <x:c r="D1" s="26" t="str">
        <x:v>Where to fix</x:v>
      </x:c>
    </x:row>
    <x:row r="2">
      <x:c r="A2" s="20" t="str">
        <x:v>Summary baseline ties to detail</x:v>
      </x:c>
      <x:c r="B2" s="20" t="str">
        <x:f>IF(C2=0,"PASS","FAIL")</x:f>
        <x:v>PASS</x:v>
      </x:c>
      <x:c r="C2" s="20" t="n">
        <x:f>'Summary'!A5-SUM('Forecast Detail'!D5:D17)</x:f>
        <x:v>0</x:v>
      </x:c>
      <x:c r="D2" s="20" t="str">
        <x:v>Summary!A5 / Forecast Detail!D5:D17</x:v>
      </x:c>
    </x:row>
    <x:row r="3">
      <x:c r="A3" s="21" t="str">
        <x:v>Summary forecast ties to detail</x:v>
      </x:c>
      <x:c r="B3" s="21" t="str">
        <x:f>IF(C3=0,"PASS","FAIL")</x:f>
        <x:v>PASS</x:v>
      </x:c>
      <x:c r="C3" s="21" t="n">
        <x:f>'Summary'!D5-SUM('Forecast Detail'!G5:G17)</x:f>
        <x:v>0</x:v>
      </x:c>
      <x:c r="D3" s="21" t="str">
        <x:v>Summary!D5 / Forecast Detail!G5:G17</x:v>
      </x:c>
    </x:row>
    <x:row r="4">
      <x:c r="A4" s="22" t="str">
        <x:v>No negative baseline inputs</x:v>
      </x:c>
      <x:c r="B4" s="22" t="str">
        <x:f>IF(C4=0,"PASS","FAIL")</x:f>
        <x:v>FAIL</x:v>
      </x:c>
      <x:c r="C4" s="22" t="n">
        <x:f>MIN('Forecast Detail'!D5:D17)</x:f>
        <x:v>36000</x:v>
      </x:c>
      <x:c r="D4" s="22" t="str">
        <x:v>Forecast Detail!D5:D17</x:v>
      </x:c>
    </x:row>
  </x:sheetData>
  <x:conditionalFormatting sqref="B2:B4">
    <x:cfRule type="containsText" dxfId="2" priority="1" operator="containsText" text="PASS"/>
  </x:conditionalFormatting>
  <x:pageMargins left="0.7" right="0.7" top="0.75" bottom="0.75" header="0.3" footer="0.3"/>
</x:worksheet>
</file>